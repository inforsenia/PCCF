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Comunicació professional" sheetId="1" state="visible" r:id="rId1"/>
    <sheet xmlns:r="http://schemas.openxmlformats.org/officeDocument/2006/relationships" name="Anglés oral en entorns professionals" sheetId="2" state="visible" r:id="rId2"/>
    <sheet xmlns:r="http://schemas.openxmlformats.org/officeDocument/2006/relationships" name="Introducció al Núvol Públic" sheetId="3" state="visible" r:id="rId3"/>
    <sheet xmlns:r="http://schemas.openxmlformats.org/officeDocument/2006/relationships" name="Introducció a la Programaci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3"/>
    </font>
    <font>
      <sz val="14"/>
    </font>
    <font>
      <sz val="16"/>
    </font>
    <font/>
  </fonts>
  <fills count="5">
    <fill>
      <patternFill/>
    </fill>
    <fill>
      <patternFill patternType="gray125"/>
    </fill>
    <fill>
      <patternFill patternType="lightHorizontal"/>
    </fill>
    <fill>
      <patternFill patternType="darkTrellis"/>
    </fill>
    <fill>
      <patternFill patternType="gray06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2" fontId="4" fillId="0" borderId="1"/>
  </cellStyleXfs>
  <cellXfs count="1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1" borderId="0" applyAlignment="1" pivotButton="0" quotePrefix="0" xfId="0">
      <alignment horizontal="center" vertical="center"/>
    </xf>
    <xf numFmtId="0" fontId="0" fillId="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2" fontId="4" fillId="0" borderId="1" applyAlignment="1" pivotButton="0" quotePrefix="0" xfId="1">
      <alignment horizontal="center" vertical="center" wrapText="1"/>
    </xf>
    <xf numFmtId="0" fontId="0" fillId="1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2" fontId="4" fillId="0" borderId="1" applyAlignment="1" pivotButton="0" quotePrefix="0" xfId="1">
      <alignment horizontal="right" vertical="center" wrapText="1"/>
    </xf>
  </cellXfs>
  <cellStyles count="2">
    <cellStyle name="Normal" xfId="0" builtinId="0" hidden="0"/>
    <cellStyle name="number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40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MOPCOMPROF</t>
        </is>
      </c>
    </row>
    <row r="2">
      <c r="B2" s="1" t="inlineStr">
        <is>
          <t>Nombre</t>
        </is>
      </c>
      <c r="C2" s="3" t="inlineStr">
        <is>
          <t>Comunicació professional</t>
        </is>
      </c>
      <c r="J2" t="inlineStr">
        <is>
          <t>OBJECTIUS</t>
        </is>
      </c>
    </row>
    <row r="3">
      <c r="B3" s="1" t="inlineStr">
        <is>
          <t>Horas</t>
        </is>
      </c>
      <c r="C3" s="2" t="inlineStr">
        <is>
          <t>96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COMPETENCIES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RA01.Identifica les necessitats informatives de la comunitat, delimitant els processos d'informació i comunicació existents que faciliten la comunicació i difusió dels projectes i actuacions comunitàries.</t>
        </is>
      </c>
      <c r="C10" s="10" t="n">
        <v>20</v>
      </c>
      <c r="D10" s="11" t="inlineStr">
        <is>
          <t>OBJECTIUS</t>
        </is>
      </c>
      <c r="E10" s="12" t="inlineStr">
        <is>
          <t>TODOS</t>
        </is>
      </c>
      <c r="F10" s="13">
        <f>SUM(F11:F13)</f>
        <v/>
      </c>
      <c r="G10" s="13">
        <f>SUM(G11:G13)</f>
        <v/>
      </c>
      <c r="I10" s="13">
        <f>SUM(I11:I13)</f>
        <v/>
      </c>
    </row>
    <row r="11">
      <c r="D11" s="14" t="n"/>
      <c r="E11" s="15" t="inlineStr">
        <is>
          <t>a) S'han descrit els mètodes, tècniques i eines, valorant les necessitats informatives de la població de manera participativa.</t>
        </is>
      </c>
      <c r="F11" t="n">
        <v>0</v>
      </c>
      <c r="G11" s="16" t="n">
        <v>33.33333333333334</v>
      </c>
    </row>
    <row r="12">
      <c r="E12" s="15" t="inlineStr">
        <is>
          <t>b) En un supòsit pràctic d'anàlisi de les necessitats informatives d'una comunitat, s'han analitzat les accions i instruments de comunicació i difusió existents, valorant-ne la capacitat informativa i la influència en els nivells de participació.</t>
        </is>
      </c>
      <c r="F12" t="n">
        <v>0</v>
      </c>
      <c r="G12" s="16" t="n">
        <v>33.33333333333334</v>
      </c>
    </row>
    <row r="13">
      <c r="D13" s="11" t="inlineStr">
        <is>
          <t>COMPETENCIES</t>
        </is>
      </c>
      <c r="E13" s="15" t="inlineStr">
        <is>
          <t>c) S'han seleccionat eines i mètodes per detectar les necessitats informatives de la comunitat, col·laborant amb les persones responsables de comunicació i altres agents.</t>
        </is>
      </c>
      <c r="F13" t="n">
        <v>0</v>
      </c>
      <c r="G13" s="16" t="n">
        <v>33.33333333333334</v>
      </c>
    </row>
    <row r="14">
      <c r="D14" s="14" t="n"/>
    </row>
    <row r="15">
      <c r="B15" s="9" t="inlineStr">
        <is>
          <t>RA02.Identifica els diferents instruments de comunicació formal i informal existents en el territori d'actuació, analitzant-ne el potencial comunicatiu per delimitar-ne les possibles aplicacions.</t>
        </is>
      </c>
      <c r="C15" s="10" t="n">
        <v>20</v>
      </c>
      <c r="D15" s="11" t="inlineStr">
        <is>
          <t>OBJECTIUS</t>
        </is>
      </c>
      <c r="E15" s="12" t="inlineStr">
        <is>
          <t>TODOS</t>
        </is>
      </c>
      <c r="F15" s="13">
        <f>SUM(F16:F22)</f>
        <v/>
      </c>
      <c r="G15" s="13">
        <f>SUM(G16:G22)</f>
        <v/>
      </c>
      <c r="I15" s="13">
        <f>SUM(I16:I22)</f>
        <v/>
      </c>
    </row>
    <row r="16">
      <c r="D16" s="14" t="n"/>
      <c r="E16" s="15" t="inlineStr">
        <is>
          <t>a) S'han caracteritzat les fonts formals i informals de comunicació i les seues accions i instruments, analitzant-ne les possibilitats, limitacions i aplicacions en la difusió dels projectes comunitaris.</t>
        </is>
      </c>
      <c r="F16" t="n">
        <v>0</v>
      </c>
      <c r="G16" s="16" t="n">
        <v>14.28571428571429</v>
      </c>
    </row>
    <row r="17">
      <c r="E17" s="15" t="inlineStr">
        <is>
          <t>b) S'ha analitzat la informació transmesa a través de diferents canals de comunicació formals i informals, valorant-ne l'adequació a les característiques de les persones destinatàries i del projecte comunitari.</t>
        </is>
      </c>
      <c r="F17" t="n">
        <v>0</v>
      </c>
      <c r="G17" s="16" t="n">
        <v>14.28571428571429</v>
      </c>
    </row>
    <row r="18">
      <c r="E18" s="15" t="inlineStr">
        <is>
          <t>c) S'ha determinat la cobertura de la informació que rep la ciutadania del territori, analitzant els paràmetres rellevants.</t>
        </is>
      </c>
      <c r="F18" t="n">
        <v>0</v>
      </c>
      <c r="G18" s="16" t="n">
        <v>14.28571428571429</v>
      </c>
    </row>
    <row r="19">
      <c r="E19" s="15" t="inlineStr">
        <is>
          <t>d) S'han identificat els diferents elements i factors que intervenen en la transmissió de la informació, analitzant-ne el paper en l'eficàcia del procés comunicatiu.</t>
        </is>
      </c>
      <c r="F19" t="n">
        <v>0</v>
      </c>
      <c r="G19" s="16" t="n">
        <v>14.28571428571429</v>
      </c>
    </row>
    <row r="20">
      <c r="D20" s="11" t="inlineStr">
        <is>
          <t>COMPETENCIES</t>
        </is>
      </c>
      <c r="E20" s="15" t="inlineStr">
        <is>
          <t>e) S'han identificat les variables que cal tenir en compte per adequar els mitjans de transmissió i informació al missatge, valorant la importància de la coherència entre ambdós elements en el procés de comunicació.</t>
        </is>
      </c>
      <c r="F20" t="n">
        <v>0</v>
      </c>
      <c r="G20" s="16" t="n">
        <v>14.28571428571429</v>
      </c>
    </row>
    <row r="21">
      <c r="D21" s="14" t="n"/>
      <c r="E21" s="15" t="inlineStr">
        <is>
          <t>f) S'han identificat llocs i espais per difondre la informació impresa, descrivint procediments per al seu manteniment, actualització i reposició.</t>
        </is>
      </c>
      <c r="F21" t="n">
        <v>0</v>
      </c>
      <c r="G21" s="16" t="n">
        <v>14.28571428571429</v>
      </c>
    </row>
    <row r="22">
      <c r="E22" s="15" t="inlineStr">
        <is>
          <t>g) S'ha analitzat la informació que es transmet a través dels diferents canals de comunicació, valorant-ne l'impacte en la comunitat.</t>
        </is>
      </c>
      <c r="F22" t="n">
        <v>0</v>
      </c>
      <c r="G22" s="16" t="n">
        <v>14.28571428571429</v>
      </c>
    </row>
    <row r="23"/>
    <row r="24">
      <c r="B24" s="9" t="inlineStr">
        <is>
          <t>RA03.Dinamitza la posada en marxa de les diferents accions de comunicació, adaptant-les a la realitat del territori i de la comunitat per afavorir la transmissió i recepció de la informació relativa a les actuacions comunitàries.</t>
        </is>
      </c>
      <c r="C24" s="10" t="n">
        <v>20</v>
      </c>
      <c r="D24" s="11" t="inlineStr">
        <is>
          <t>OBJECTIUS</t>
        </is>
      </c>
      <c r="E24" s="12" t="inlineStr">
        <is>
          <t>TODOS</t>
        </is>
      </c>
      <c r="F24" s="13">
        <f>SUM(F25:F27)</f>
        <v/>
      </c>
      <c r="G24" s="13">
        <f>SUM(G25:G27)</f>
        <v/>
      </c>
      <c r="I24" s="13">
        <f>SUM(I25:I27)</f>
        <v/>
      </c>
    </row>
    <row r="25">
      <c r="D25" s="14" t="n"/>
      <c r="E25" s="15" t="inlineStr">
        <is>
          <t>a) En un supòsit pràctic d'una activitat de difusió d'un projecte o actuació comunitària, a partir d'un context i unes persones destinatàries:
- S'han establit les accions de comunicació analitzant les característiques del projecte, del context i de la població destinatària.
- S'ha determinat el missatge que cal transmetre, adequant-lo a la població a la qual s'adreça.
- S'ha seleccionat el canal o mitjà de difusió, analitzant-ne la cobertura informativa.
- S'han identificat els factors i criteris de gestió i control del mitjà seleccionat, valorant-ne la facilitat d'actualització.
- S'han elaborat instruments de recollida d'informació sobre l'impacte aconseguit, valorant-ne l'objectivitat.</t>
        </is>
      </c>
      <c r="F25" t="n">
        <v>0</v>
      </c>
      <c r="G25" s="16" t="n">
        <v>33.33333333333334</v>
      </c>
    </row>
    <row r="26">
      <c r="E26" s="15" t="inlineStr">
        <is>
          <t>b) En un supòsit pràctic de difusió d'actuacions comunitàries a partir d'un context donat:
- S'ha seleccionat la informació que cal transmetre, analitzant els projectes i actuacions comunitàries.
- S'han elaborat protocols per a l'intercanvi i difusió d'informació, atenent a criteris d'eficiència, adequació i rendibilització dels instruments de comunicació.
- S'han dissenyat els suports de transmissió de la informació tenint en compte les possibilitats d'actualització i les necessitats de manteniment.
- S'han elaborat materials informatius analitzant la informació a transmetre i les característiques de la població destinatària.</t>
        </is>
      </c>
      <c r="F26" t="n">
        <v>0</v>
      </c>
      <c r="G26" s="16" t="n">
        <v>33.33333333333334</v>
      </c>
    </row>
    <row r="27">
      <c r="D27" s="11" t="inlineStr">
        <is>
          <t>COMPETENCIES</t>
        </is>
      </c>
      <c r="E27" s="15" t="inlineStr">
        <is>
          <t>c) S'han seleccionat recursos comunicatius propis de les diferents llengües i llenguatges, associant-los al context on s'utilitzaran.</t>
        </is>
      </c>
      <c r="F27" t="n">
        <v>0</v>
      </c>
      <c r="G27" s="16" t="n">
        <v>33.33333333333334</v>
      </c>
    </row>
    <row r="28">
      <c r="D28" s="14" t="n"/>
    </row>
    <row r="29">
      <c r="B29" s="9" t="inlineStr">
        <is>
          <t>RA04.Promou i manté canals de comunicació en l'entorn d'intervenció, incorporant la perspectiva de gènere i la interseccionalitat.</t>
        </is>
      </c>
      <c r="C29" s="10" t="n">
        <v>20</v>
      </c>
      <c r="D29" s="11" t="inlineStr">
        <is>
          <t>OBJECTIUS</t>
        </is>
      </c>
      <c r="E29" s="12" t="inlineStr">
        <is>
          <t>TODOS</t>
        </is>
      </c>
      <c r="F29" s="13">
        <f>SUM(F30:F33)</f>
        <v/>
      </c>
      <c r="G29" s="13">
        <f>SUM(G30:G33)</f>
        <v/>
      </c>
      <c r="I29" s="13">
        <f>SUM(I30:I33)</f>
        <v/>
      </c>
    </row>
    <row r="30">
      <c r="D30" s="14" t="n"/>
      <c r="E30" s="15" t="inlineStr">
        <is>
          <t>a) S'han diferenciat els tipus de discriminació (directa, indirecta, convergent, entre altres), caracteritzant-los.</t>
        </is>
      </c>
      <c r="F30" t="n">
        <v>0</v>
      </c>
      <c r="G30" s="16" t="n">
        <v>25</v>
      </c>
    </row>
    <row r="31">
      <c r="E31" s="15" t="inlineStr">
        <is>
          <t>b) S'han descrit aspectes o situacions de la vida comunitària on es puguen percebre discriminacions per raó de sexe, gènere, orientació o preferència sexual o qualsevol altre tipus de discriminació, aplicant una mirada interseccional.</t>
        </is>
      </c>
      <c r="F31" t="n">
        <v>0</v>
      </c>
      <c r="G31" s="16" t="n">
        <v>25</v>
      </c>
    </row>
    <row r="32">
      <c r="D32" s="11" t="inlineStr">
        <is>
          <t>COMPETENCIES</t>
        </is>
      </c>
      <c r="E32" s="15" t="inlineStr">
        <is>
          <t>c) S'han creat suports de comunicació en diferents formats (bibliogràfics, audiovisuals, digitals, entre altres), assegurant un ús no sexista ni discriminatori del llenguatge, seleccionant i elaborant la informació necessària i mantenint-los actualitzats per donar resposta a les necessitats informatives de l'entorn d'intervenció.</t>
        </is>
      </c>
      <c r="F32" t="n">
        <v>0</v>
      </c>
      <c r="G32" s="16" t="n">
        <v>25</v>
      </c>
    </row>
    <row r="33">
      <c r="D33" s="14" t="n"/>
      <c r="E33" s="15" t="inlineStr">
        <is>
          <t>d) S'ha detectat i comunicat la reproducció d'estereotips sexistes i discriminatoris en el llenguatge, en el tractament de les imatges i en les accions de l'entorn d'intervenció, seguint els protocols i vies establerts, per erradicar qualsevol tipus de discriminació.</t>
        </is>
      </c>
      <c r="F33" t="n">
        <v>0</v>
      </c>
      <c r="G33" s="16" t="n">
        <v>25</v>
      </c>
    </row>
    <row r="34"/>
    <row r="35">
      <c r="B35" s="9" t="inlineStr">
        <is>
          <t>RA05.Avalua el grau d'utilitat de les accions i instruments de comunicació utilitzats, seguint els protocols establerts per l'equip de treball, per retroalimentar i millorar el procés de comunicació i difusió.</t>
        </is>
      </c>
      <c r="C35" s="10" t="n">
        <v>20</v>
      </c>
      <c r="D35" s="11" t="inlineStr">
        <is>
          <t>OBJECTIUS</t>
        </is>
      </c>
      <c r="E35" s="12" t="inlineStr">
        <is>
          <t>TODOS</t>
        </is>
      </c>
      <c r="F35" s="13">
        <f>SUM(F36:F39)</f>
        <v/>
      </c>
      <c r="G35" s="13">
        <f>SUM(G36:G39)</f>
        <v/>
      </c>
      <c r="I35" s="13">
        <f>SUM(I36:I39)</f>
        <v/>
      </c>
    </row>
    <row r="36">
      <c r="D36" s="14" t="n"/>
      <c r="E36" s="15" t="inlineStr">
        <is>
          <t>a) S'han identificat procediments i instruments, valorant l'impacte de les accions de comunicació.</t>
        </is>
      </c>
      <c r="F36" t="n">
        <v>0</v>
      </c>
      <c r="G36" s="16" t="n">
        <v>25</v>
      </c>
    </row>
    <row r="37">
      <c r="E37" s="15" t="inlineStr">
        <is>
          <t>b) En un supòsit pràctic d'anàlisi de l'impacte de les accions de comunicació i difusió de projectes i actuacions comunitàries a partir d'un context donat:
- S'ha valorat l'adequació dels canals emprats per a la transmissió d'informació.
- S'han seleccionat i aplicat les tècniques de recollida d'informació.
- S'han definit, després de l'anàlisi de la informació recollida, nous procediments que milloren la qualitat de la transmissió.
- S'han identificat els aspectes o situacions de la vida comunitària on es puguen percebre discriminacions (directes, indirectes, convergents, entre altres) o tractes no igualitaris per raó de sexe o qualsevol altre tipus de discriminació.
- S'ha recollit informació de diverses fonts que permeta analitzar diversos punts de vista.
- S'han utilitzat tècniques i instruments adequats a les situacions plantejades, analitzant els problemes i necessitats comunitàries.
- S'ha valorat si la informació recollida és útil i suficient per dissenyar accions de millora.</t>
        </is>
      </c>
      <c r="F37" t="n">
        <v>0</v>
      </c>
      <c r="G37" s="16" t="n">
        <v>25</v>
      </c>
    </row>
    <row r="38">
      <c r="D38" s="11" t="inlineStr">
        <is>
          <t>COMPETENCIES</t>
        </is>
      </c>
      <c r="E38" s="15" t="inlineStr">
        <is>
          <t>c) S'han determinat processos de recollida d'informació útil i contrastada que permeten realitzar el diagnòstic de situacions de discriminació i desigualtat.</t>
        </is>
      </c>
      <c r="F38" t="n">
        <v>0</v>
      </c>
      <c r="G38" s="16" t="n">
        <v>25</v>
      </c>
    </row>
    <row r="39">
      <c r="D39" s="14" t="n"/>
      <c r="E39" s="15" t="inlineStr">
        <is>
          <t>d) S'ha registrat la informació en el format establert, realitzant el diagnòstic inicial de les situacions de discriminació i desigualtat.</t>
        </is>
      </c>
      <c r="F39" t="n">
        <v>0</v>
      </c>
      <c r="G39" s="16" t="n">
        <v>25</v>
      </c>
    </row>
    <row r="40"/>
  </sheetData>
  <mergeCells count="39">
    <mergeCell ref="B10:B14"/>
    <mergeCell ref="B35:B40"/>
    <mergeCell ref="C1:E1"/>
    <mergeCell ref="J35:J39"/>
    <mergeCell ref="E8:E9"/>
    <mergeCell ref="G8:G9"/>
    <mergeCell ref="F3:F4"/>
    <mergeCell ref="B8:B9"/>
    <mergeCell ref="D11:D12"/>
    <mergeCell ref="J10:J13"/>
    <mergeCell ref="D14"/>
    <mergeCell ref="J24:J27"/>
    <mergeCell ref="D36:D37"/>
    <mergeCell ref="C2:E2"/>
    <mergeCell ref="C35:C40"/>
    <mergeCell ref="F8:F9"/>
    <mergeCell ref="C29:C34"/>
    <mergeCell ref="B24:B28"/>
    <mergeCell ref="I3:I4"/>
    <mergeCell ref="D16:D19"/>
    <mergeCell ref="B15:B23"/>
    <mergeCell ref="J15:J22"/>
    <mergeCell ref="B29:B34"/>
    <mergeCell ref="D33:D34"/>
    <mergeCell ref="C8:C9"/>
    <mergeCell ref="I8:I9"/>
    <mergeCell ref="C24:C28"/>
    <mergeCell ref="D8:D9"/>
    <mergeCell ref="D21:D23"/>
    <mergeCell ref="C3:E3"/>
    <mergeCell ref="D25:D26"/>
    <mergeCell ref="J29:J33"/>
    <mergeCell ref="C15:C23"/>
    <mergeCell ref="D30:D31"/>
    <mergeCell ref="D39:D40"/>
    <mergeCell ref="H8:H9"/>
    <mergeCell ref="J8:J9"/>
    <mergeCell ref="C10:C14"/>
    <mergeCell ref="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42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MOPANGPROF</t>
        </is>
      </c>
    </row>
    <row r="2">
      <c r="B2" s="1" t="inlineStr">
        <is>
          <t>Nombre</t>
        </is>
      </c>
      <c r="C2" s="3" t="inlineStr">
        <is>
          <t>Anglés oral en entorns professionals</t>
        </is>
      </c>
      <c r="J2" t="inlineStr">
        <is>
          <t>OBJECTIUS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COMPETENCIES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RA01.Comprén informació d'índole professional continguda en tot tipus de discursos orals emesos per qualsevol mitjà de comunicació, interpretant amb precisió el contingut del missatge.</t>
        </is>
      </c>
      <c r="C10" s="10" t="n">
        <v>33.33333333333334</v>
      </c>
      <c r="D10" s="11" t="inlineStr">
        <is>
          <t>OBJECTIUS</t>
        </is>
      </c>
      <c r="E10" s="12" t="inlineStr">
        <is>
          <t>TODOS</t>
        </is>
      </c>
      <c r="F10" s="13">
        <f>SUM(F11:F21)</f>
        <v/>
      </c>
      <c r="G10" s="13">
        <f>SUM(G11:G21)</f>
        <v/>
      </c>
      <c r="I10" s="13">
        <f>SUM(I11:I21)</f>
        <v/>
      </c>
    </row>
    <row r="11">
      <c r="D11" s="14" t="n"/>
      <c r="E11" s="15" t="inlineStr">
        <is>
          <t>a) S'han emés missatges generals propis del sector utilitzant nexes i estratègies d'interacció.</t>
        </is>
      </c>
      <c r="F11" t="n">
        <v>0</v>
      </c>
      <c r="G11" s="16" t="n">
        <v>9.090909090909092</v>
      </c>
    </row>
    <row r="12">
      <c r="E12" s="15" t="inlineStr">
        <is>
          <t>b) S'han emés missatges relacionats amb la vida socioprofessional.</t>
        </is>
      </c>
      <c r="F12" t="n">
        <v>0</v>
      </c>
      <c r="G12" s="16" t="n">
        <v>9.090909090909092</v>
      </c>
    </row>
    <row r="13">
      <c r="E13" s="15" t="inlineStr">
        <is>
          <t>c) S'ha intercanviat amb fluïdesa informació específica i detallada utilitzant estructures d'una complexitat d'acord amb el nivell competencial.</t>
        </is>
      </c>
      <c r="F13" t="n">
        <v>0</v>
      </c>
      <c r="G13" s="16" t="n">
        <v>9.090909090909092</v>
      </c>
    </row>
    <row r="14">
      <c r="E14" s="15" t="inlineStr">
        <is>
          <t>d) S'ha expressat amb fluïdesa, precisió i eficàcia sobre temes professionals, marcant amb claredat la relació entre les idees.</t>
        </is>
      </c>
      <c r="F14" t="n">
        <v>0</v>
      </c>
      <c r="G14" s="16" t="n">
        <v>9.090909090909092</v>
      </c>
    </row>
    <row r="15">
      <c r="E15" s="15" t="inlineStr">
        <is>
          <t>e) S'han expressat i defés punts de vista amb claredat, proporcionant explicacions i arguments adequats.</t>
        </is>
      </c>
      <c r="F15" t="n">
        <v>0</v>
      </c>
      <c r="G15" s="16" t="n">
        <v>9.090909090909092</v>
      </c>
    </row>
    <row r="16">
      <c r="E16" s="15" t="inlineStr">
        <is>
          <t>f) S'han seleccionat i aplicat els registres adequats per a l'emissió del missatge, així com protocols i normes de relació social propis del país.</t>
        </is>
      </c>
      <c r="F16" t="n">
        <v>0</v>
      </c>
      <c r="G16" s="16" t="n">
        <v>9.090909090909092</v>
      </c>
    </row>
    <row r="17">
      <c r="D17" s="11" t="inlineStr">
        <is>
          <t>COMPETENCIES</t>
        </is>
      </c>
      <c r="E17" s="15" t="inlineStr">
        <is>
          <t>g) S'han realitzat presentacions, ben estructurades, sobre temes del seu àmbit professional, fent ús dels protocols establits.</t>
        </is>
      </c>
      <c r="F17" t="n">
        <v>0</v>
      </c>
      <c r="G17" s="16" t="n">
        <v>9.090909090909092</v>
      </c>
    </row>
    <row r="18">
      <c r="D18" s="14" t="n"/>
      <c r="E18" s="15" t="inlineStr">
        <is>
          <t>h) S'ha descrit i seqüenciat oralment un procés de treball de la seua competència.</t>
        </is>
      </c>
      <c r="F18" t="n">
        <v>0</v>
      </c>
      <c r="G18" s="16" t="n">
        <v>9.090909090909092</v>
      </c>
    </row>
    <row r="19">
      <c r="E19" s="15" t="inlineStr">
        <is>
          <t>i) S'han utilitzat estratègies de mediació reformulant el discurs o part d'aquest per a facilitar la comprensió.</t>
        </is>
      </c>
      <c r="F19" t="n">
        <v>0</v>
      </c>
      <c r="G19" s="16" t="n">
        <v>9.090909090909092</v>
      </c>
    </row>
    <row r="20">
      <c r="E20" s="15" t="inlineStr">
        <is>
          <t>j) S'ha interaccionat adoptant un nivell de formalitat adequat a les circumstàncies.</t>
        </is>
      </c>
      <c r="F20" t="n">
        <v>0</v>
      </c>
      <c r="G20" s="16" t="n">
        <v>9.090909090909092</v>
      </c>
    </row>
    <row r="21">
      <c r="E21" s="15" t="inlineStr">
        <is>
          <t>k) S'ha utilitzat correctament la terminologia de la professió.</t>
        </is>
      </c>
      <c r="F21" t="n">
        <v>0</v>
      </c>
      <c r="G21" s="16" t="n">
        <v>9.090909090909092</v>
      </c>
    </row>
    <row r="22"/>
    <row r="23">
      <c r="B23" s="9" t="inlineStr">
        <is>
          <t>RA02.Produeix missatges orals clars i estructurats, participant com a agent actiu en converses professionals, analitzant el contingut de la situació i adaptant-se al registre lingüístic de l'interlocutor.</t>
        </is>
      </c>
      <c r="C23" s="10" t="n">
        <v>33.33333333333334</v>
      </c>
      <c r="D23" s="11" t="inlineStr">
        <is>
          <t>OBJECTIUS</t>
        </is>
      </c>
      <c r="E23" s="12" t="inlineStr">
        <is>
          <t>TODOS</t>
        </is>
      </c>
      <c r="F23" s="13">
        <f>SUM(F24:F32)</f>
        <v/>
      </c>
      <c r="G23" s="13">
        <f>SUM(G24:G32)</f>
        <v/>
      </c>
      <c r="I23" s="13">
        <f>SUM(I24:I32)</f>
        <v/>
      </c>
    </row>
    <row r="24">
      <c r="D24" s="14" t="n"/>
      <c r="E24" s="15" t="inlineStr">
        <is>
          <t>a) S'han emés missatges generals propis del sector utilitzant nexes i estratègies d'interacció.</t>
        </is>
      </c>
      <c r="F24" t="n">
        <v>0</v>
      </c>
      <c r="G24" s="16" t="n">
        <v>11.11111111111111</v>
      </c>
    </row>
    <row r="25">
      <c r="E25" s="15" t="inlineStr">
        <is>
          <t>b) S'han emés missatges relacionats amb la vida socioprofessional.</t>
        </is>
      </c>
      <c r="F25" t="n">
        <v>0</v>
      </c>
      <c r="G25" s="16" t="n">
        <v>11.11111111111111</v>
      </c>
    </row>
    <row r="26">
      <c r="E26" s="15" t="inlineStr">
        <is>
          <t>c) S'ha intercanviat amb fluïdesa informació específica i detallada utilitzant estructures d'una complexitat d'acord amb el nivell competencial.</t>
        </is>
      </c>
      <c r="F26" t="n">
        <v>0</v>
      </c>
      <c r="G26" s="16" t="n">
        <v>11.11111111111111</v>
      </c>
    </row>
    <row r="27">
      <c r="E27" s="15" t="inlineStr">
        <is>
          <t>d) S'han seleccionat i aplicat els registres adequats per a l'emissió del missatge, així com protocols i normes de relació social propis del país.</t>
        </is>
      </c>
      <c r="F27" t="n">
        <v>0</v>
      </c>
      <c r="G27" s="16" t="n">
        <v>11.11111111111111</v>
      </c>
    </row>
    <row r="28">
      <c r="E28" s="15" t="inlineStr">
        <is>
          <t>e) S'han realitzat presentacions, ben estructurades, sobre temes del seu àmbit professional, fent ús dels protocols establits.</t>
        </is>
      </c>
      <c r="F28" t="n">
        <v>0</v>
      </c>
      <c r="G28" s="16" t="n">
        <v>11.11111111111111</v>
      </c>
    </row>
    <row r="29">
      <c r="D29" s="11" t="inlineStr">
        <is>
          <t>COMPETENCIES</t>
        </is>
      </c>
      <c r="E29" s="15" t="inlineStr">
        <is>
          <t>f) S'ha utilitzat correctament la terminologia de la professió.</t>
        </is>
      </c>
      <c r="F29" t="n">
        <v>0</v>
      </c>
      <c r="G29" s="16" t="n">
        <v>11.11111111111111</v>
      </c>
    </row>
    <row r="30">
      <c r="D30" s="14" t="n"/>
      <c r="E30" s="15" t="inlineStr">
        <is>
          <t>g) S'ha descrit i seqüenciat oralment un procés de treball de la seua competència.</t>
        </is>
      </c>
      <c r="F30" t="n">
        <v>0</v>
      </c>
      <c r="G30" s="16" t="n">
        <v>11.11111111111111</v>
      </c>
    </row>
    <row r="31">
      <c r="E31" s="15" t="inlineStr">
        <is>
          <t>h) S'han utilitzat estratègies de mediació reformulant el discurs o part d'aquest per a facilitar la comprensió.</t>
        </is>
      </c>
      <c r="F31" t="n">
        <v>0</v>
      </c>
      <c r="G31" s="16" t="n">
        <v>11.11111111111111</v>
      </c>
    </row>
    <row r="32">
      <c r="E32" s="15" t="inlineStr">
        <is>
          <t>i) S'ha interaccionat espontàniament, adoptant un nivell de formalitat adequat a les circumstàncies.</t>
        </is>
      </c>
      <c r="F32" t="n">
        <v>0</v>
      </c>
      <c r="G32" s="16" t="n">
        <v>11.11111111111111</v>
      </c>
    </row>
    <row r="33"/>
    <row r="34">
      <c r="B34" s="9" t="inlineStr">
        <is>
          <t>RA03.Aplica actituds i comportaments professionals en situacions de comunicació, descrivint les relacions típiques característiques del país de la llengua estrangera.</t>
        </is>
      </c>
      <c r="C34" s="10" t="n">
        <v>33.33333333333334</v>
      </c>
      <c r="D34" s="11" t="inlineStr">
        <is>
          <t>OBJECTIUS</t>
        </is>
      </c>
      <c r="E34" s="12" t="inlineStr">
        <is>
          <t>TODOS</t>
        </is>
      </c>
      <c r="F34" s="13">
        <f>SUM(F35:F41)</f>
        <v/>
      </c>
      <c r="G34" s="13">
        <f>SUM(G35:G41)</f>
        <v/>
      </c>
      <c r="I34" s="13">
        <f>SUM(I35:I41)</f>
        <v/>
      </c>
    </row>
    <row r="35">
      <c r="D35" s="14" t="n"/>
      <c r="E35" s="15" t="inlineStr">
        <is>
          <t>a) S'han definit els trets més significatius dels costums i usos de la comunitat on es parla la llengua estrangera.</t>
        </is>
      </c>
      <c r="F35" t="n">
        <v>0</v>
      </c>
      <c r="G35" s="16" t="n">
        <v>14.28571428571429</v>
      </c>
    </row>
    <row r="36">
      <c r="E36" s="15" t="inlineStr">
        <is>
          <t>b) S'han aplicat els protocols i normes de relació social propis del país de la llengua estrangera.</t>
        </is>
      </c>
      <c r="F36" t="n">
        <v>0</v>
      </c>
      <c r="G36" s="16" t="n">
        <v>14.28571428571429</v>
      </c>
    </row>
    <row r="37">
      <c r="E37" s="15" t="inlineStr">
        <is>
          <t>c) S'han identificat els aspectes socioprofessionals propis del sector, en qualsevol tipus de text.</t>
        </is>
      </c>
      <c r="F37" t="n">
        <v>0</v>
      </c>
      <c r="G37" s="16" t="n">
        <v>14.28571428571429</v>
      </c>
    </row>
    <row r="38">
      <c r="E38" s="15" t="inlineStr">
        <is>
          <t>d) S'han identificat els valors i creences propis de la comunitat on es parla la llengua estrangera.</t>
        </is>
      </c>
      <c r="F38" t="n">
        <v>0</v>
      </c>
      <c r="G38" s="16" t="n">
        <v>14.28571428571429</v>
      </c>
    </row>
    <row r="39">
      <c r="D39" s="11" t="inlineStr">
        <is>
          <t>COMPETENCIES</t>
        </is>
      </c>
      <c r="E39" s="15" t="inlineStr">
        <is>
          <t>e) S'han identificat les oportunitats d'aprenentatge i ocupació a Europa.</t>
        </is>
      </c>
      <c r="F39" t="n">
        <v>0</v>
      </c>
      <c r="G39" s="16" t="n">
        <v>14.28571428571429</v>
      </c>
    </row>
    <row r="40">
      <c r="D40" s="14" t="n"/>
      <c r="E40" s="15" t="inlineStr">
        <is>
          <t>f) S'han reconegut els marcadors lingüístics de la procedència regional.</t>
        </is>
      </c>
      <c r="F40" t="n">
        <v>0</v>
      </c>
      <c r="G40" s="16" t="n">
        <v>14.28571428571429</v>
      </c>
    </row>
    <row r="41">
      <c r="E41" s="15" t="inlineStr">
        <is>
          <t>g) S'ha utilitzat la llengua estrangera per a comunicar-se amb parlants o estudiants d'aquesta llengua.</t>
        </is>
      </c>
      <c r="F41" t="n">
        <v>0</v>
      </c>
      <c r="G41" s="16" t="n">
        <v>14.28571428571429</v>
      </c>
    </row>
    <row r="42"/>
  </sheetData>
  <mergeCells count="29">
    <mergeCell ref="C1:E1"/>
    <mergeCell ref="E8:E9"/>
    <mergeCell ref="G8:G9"/>
    <mergeCell ref="F3:F4"/>
    <mergeCell ref="B8:B9"/>
    <mergeCell ref="C10:C22"/>
    <mergeCell ref="B34:B42"/>
    <mergeCell ref="B23:B33"/>
    <mergeCell ref="C2:E2"/>
    <mergeCell ref="D18:D22"/>
    <mergeCell ref="J23:J32"/>
    <mergeCell ref="F8:F9"/>
    <mergeCell ref="I3:I4"/>
    <mergeCell ref="D11:D16"/>
    <mergeCell ref="D24:D28"/>
    <mergeCell ref="J34:J41"/>
    <mergeCell ref="B10:B22"/>
    <mergeCell ref="J10:J21"/>
    <mergeCell ref="C23:C33"/>
    <mergeCell ref="D40:D42"/>
    <mergeCell ref="C8:C9"/>
    <mergeCell ref="I8:I9"/>
    <mergeCell ref="C34:C42"/>
    <mergeCell ref="D8:D9"/>
    <mergeCell ref="C3:E3"/>
    <mergeCell ref="D30:D33"/>
    <mergeCell ref="H8:H9"/>
    <mergeCell ref="J8:J9"/>
    <mergeCell ref="D35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41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INP</t>
        </is>
      </c>
    </row>
    <row r="2">
      <c r="B2" s="1" t="inlineStr">
        <is>
          <t>Nombre</t>
        </is>
      </c>
      <c r="C2" s="3" t="inlineStr">
        <is>
          <t>Introducció al Núvol Públic</t>
        </is>
      </c>
      <c r="J2" t="inlineStr">
        <is>
          <t>OBJECTIUS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COMPETENCIES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RA01.Comprèn els fonaments de la computació en el núvol, els seus avantatges davant sistemes tradicionals, el marc d'adopció, els principis de migració i els aspectes clau de facturació, com estimació i optimització de costos.</t>
        </is>
      </c>
      <c r="C10" s="10" t="n">
        <v>25</v>
      </c>
      <c r="D10" s="11" t="inlineStr">
        <is>
          <t>OBJECTIUS</t>
        </is>
      </c>
      <c r="E10" s="12" t="inlineStr">
        <is>
          <t>TODOS</t>
        </is>
      </c>
      <c r="F10" s="13">
        <f>SUM(F11:F16)</f>
        <v/>
      </c>
      <c r="G10" s="13">
        <f>SUM(G11:G16)</f>
        <v/>
      </c>
      <c r="I10" s="13">
        <f>SUM(I11:I16)</f>
        <v/>
      </c>
    </row>
    <row r="11">
      <c r="D11" s="14" t="n"/>
      <c r="E11" s="15" t="inlineStr">
        <is>
          <t>a) S'ha comprès els conceptes fonamentals de la computació en el núvol.</t>
        </is>
      </c>
      <c r="F11" t="n">
        <v>0</v>
      </c>
      <c r="G11" s="16" t="n">
        <v>16.66666666666667</v>
      </c>
    </row>
    <row r="12">
      <c r="E12" s="15" t="inlineStr">
        <is>
          <t>b) S'ha demostrat la capacitat per a explicar els avantatges del núvol davant sistemes tradicionals</t>
        </is>
      </c>
      <c r="F12" t="n">
        <v>0</v>
      </c>
      <c r="G12" s="16" t="n">
        <v>16.66666666666667</v>
      </c>
    </row>
    <row r="13">
      <c r="E13" s="15" t="inlineStr">
        <is>
          <t>c) S'ha participat en activitats relacionades amb l'ecosistema de serveis en el núvol.</t>
        </is>
      </c>
      <c r="F13" t="n">
        <v>0</v>
      </c>
      <c r="G13" s="16" t="n">
        <v>16.66666666666667</v>
      </c>
    </row>
    <row r="14">
      <c r="D14" s="11" t="inlineStr">
        <is>
          <t>COMPETENCIES</t>
        </is>
      </c>
      <c r="E14" s="15" t="inlineStr">
        <is>
          <t>d) S'han identificat els principis bàsics de la facturació i costos en el núvol.</t>
        </is>
      </c>
      <c r="F14" t="n">
        <v>0</v>
      </c>
      <c r="G14" s="16" t="n">
        <v>16.66666666666667</v>
      </c>
    </row>
    <row r="15">
      <c r="D15" s="14" t="n"/>
      <c r="E15" s="15" t="inlineStr">
        <is>
          <t>e) S'ha fet ús correcte d'eines per a estimar i gestionar pressupostos.</t>
        </is>
      </c>
      <c r="F15" t="n">
        <v>0</v>
      </c>
      <c r="G15" s="16" t="n">
        <v>16.66666666666667</v>
      </c>
    </row>
    <row r="16">
      <c r="E16" s="15" t="inlineStr">
        <is>
          <t>f) S'ha participat en activitats pràctiques sobre gestió de costos.</t>
        </is>
      </c>
      <c r="F16" t="n">
        <v>0</v>
      </c>
      <c r="G16" s="16" t="n">
        <v>16.66666666666667</v>
      </c>
    </row>
    <row r="17"/>
    <row r="18">
      <c r="B18" s="9" t="inlineStr">
        <is>
          <t>RA02.Identifica els components clau de la infraestructura global del núvol, diferenciant serveis principals, regions, zones de disponibilitat i aplicant mesures bàsiques de seguretat com el model de responsabilitat compartida, gestió d'accés i protecció de dades</t>
        </is>
      </c>
      <c r="C18" s="10" t="n">
        <v>25</v>
      </c>
      <c r="D18" s="11" t="inlineStr">
        <is>
          <t>OBJECTIUS</t>
        </is>
      </c>
      <c r="E18" s="12" t="inlineStr">
        <is>
          <t>TODOS</t>
        </is>
      </c>
      <c r="F18" s="13">
        <f>SUM(F19:F24)</f>
        <v/>
      </c>
      <c r="G18" s="13">
        <f>SUM(G19:G24)</f>
        <v/>
      </c>
      <c r="I18" s="13">
        <f>SUM(I19:I24)</f>
        <v/>
      </c>
    </row>
    <row r="19">
      <c r="D19" s="14" t="n"/>
      <c r="E19" s="15" t="inlineStr">
        <is>
          <t>a) S'ha adquirit coneixement dels components d'una infraestructura global en el núvol.</t>
        </is>
      </c>
      <c r="F19" t="n">
        <v>0</v>
      </c>
      <c r="G19" s="16" t="n">
        <v>16.66666666666667</v>
      </c>
    </row>
    <row r="20">
      <c r="E20" s="15" t="inlineStr">
        <is>
          <t>b) S'ha demostrat la capacitat per a explorar i descriure les principals categories de serveis disponibles</t>
        </is>
      </c>
      <c r="F20" t="n">
        <v>0</v>
      </c>
      <c r="G20" s="16" t="n">
        <v>16.66666666666667</v>
      </c>
    </row>
    <row r="21">
      <c r="E21" s="15" t="inlineStr">
        <is>
          <t>c) S'ha realitzat una avaluació de l'ús adequat de serveis bàsics en exercicis pràctics.</t>
        </is>
      </c>
      <c r="F21" t="n">
        <v>0</v>
      </c>
      <c r="G21" s="16" t="n">
        <v>16.66666666666667</v>
      </c>
    </row>
    <row r="22">
      <c r="D22" s="11" t="inlineStr">
        <is>
          <t>COMPETENCIES</t>
        </is>
      </c>
      <c r="E22" s="15" t="inlineStr">
        <is>
          <t>d) S'ha comprès el model de responsabilitat compartida en el núvol.</t>
        </is>
      </c>
      <c r="F22" t="n">
        <v>0</v>
      </c>
      <c r="G22" s="16" t="n">
        <v>16.66666666666667</v>
      </c>
    </row>
    <row r="23">
      <c r="D23" s="14" t="n"/>
      <c r="E23" s="15" t="inlineStr">
        <is>
          <t>e) S'ha aplicat mesures de seguretat bàsiques mitjançant eines de gestió d'accés.</t>
        </is>
      </c>
      <c r="F23" t="n">
        <v>0</v>
      </c>
      <c r="G23" s="16" t="n">
        <v>16.66666666666667</v>
      </c>
    </row>
    <row r="24">
      <c r="E24" s="15" t="inlineStr">
        <is>
          <t>f) S'han realitzat exercicis sobre gestió d'usuaris i polítiques de seguretat.</t>
        </is>
      </c>
      <c r="F24" t="n">
        <v>0</v>
      </c>
      <c r="G24" s="16" t="n">
        <v>16.66666666666667</v>
      </c>
    </row>
    <row r="25"/>
    <row r="26">
      <c r="B26" s="9" t="inlineStr">
        <is>
          <t>RA03.Dissena i configura xarxes virtuals i serveis de còmput en el núvol, aplicant bones pràctiques de seguretat, estratègies de balanç de càrrega, escalat automàtic i aprofitant tecnologies serverless, contenidors i màquines virtuals segons casos d'ús específics.</t>
        </is>
      </c>
      <c r="C26" s="10" t="n">
        <v>25</v>
      </c>
      <c r="D26" s="11" t="inlineStr">
        <is>
          <t>OBJECTIUS</t>
        </is>
      </c>
      <c r="E26" s="12" t="inlineStr">
        <is>
          <t>TODOS</t>
        </is>
      </c>
      <c r="F26" s="13">
        <f>SUM(F27:F32)</f>
        <v/>
      </c>
      <c r="G26" s="13">
        <f>SUM(G27:G32)</f>
        <v/>
      </c>
      <c r="I26" s="13">
        <f>SUM(I27:I32)</f>
        <v/>
      </c>
    </row>
    <row r="27">
      <c r="D27" s="14" t="n"/>
      <c r="E27" s="15" t="inlineStr">
        <is>
          <t>a) S'ha realitzat el disseny i configuració de xarxes virtuals privades.</t>
        </is>
      </c>
      <c r="F27" t="n">
        <v>0</v>
      </c>
      <c r="G27" s="16" t="n">
        <v>16.66666666666667</v>
      </c>
    </row>
    <row r="28">
      <c r="E28" s="15" t="inlineStr">
        <is>
          <t>b) S'ha aplicat bones pràctiques de seguretat en xarxes i arquitectures.</t>
        </is>
      </c>
      <c r="F28" t="n">
        <v>0</v>
      </c>
      <c r="G28" s="16" t="n">
        <v>16.66666666666667</v>
      </c>
    </row>
    <row r="29">
      <c r="E29" s="15" t="inlineStr">
        <is>
          <t>c) S'ha participat activament en la creació i configuració d'una xarxa funcional.</t>
        </is>
      </c>
      <c r="F29" t="n">
        <v>0</v>
      </c>
      <c r="G29" s="16" t="n">
        <v>16.66666666666667</v>
      </c>
    </row>
    <row r="30">
      <c r="D30" s="11" t="inlineStr">
        <is>
          <t>COMPETENCIES</t>
        </is>
      </c>
      <c r="E30" s="15" t="inlineStr">
        <is>
          <t>d) S'ha realitzat la selecció de serveis de computació adequats segons casos d'ús.</t>
        </is>
      </c>
      <c r="F30" t="n">
        <v>0</v>
      </c>
      <c r="G30" s="16" t="n">
        <v>16.66666666666667</v>
      </c>
    </row>
    <row r="31">
      <c r="D31" s="14" t="n"/>
      <c r="E31" s="15" t="inlineStr">
        <is>
          <t>e) S'ha dut a terme la configuració i gestió de balanç de càrrega i escalat automàtic.</t>
        </is>
      </c>
      <c r="F31" t="n">
        <v>0</v>
      </c>
      <c r="G31" s="16" t="n">
        <v>16.66666666666667</v>
      </c>
    </row>
    <row r="32">
      <c r="E32" s="15" t="inlineStr">
        <is>
          <t>f) S'han desenvolupat pràctiques relacionades amb l'optimització de recursos computacionals.</t>
        </is>
      </c>
      <c r="F32" t="n">
        <v>0</v>
      </c>
      <c r="G32" s="16" t="n">
        <v>16.66666666666667</v>
      </c>
    </row>
    <row r="33"/>
    <row r="34">
      <c r="B34" s="9" t="inlineStr">
        <is>
          <t>RA04.Gestiona serveis d'emmagatzematge i bases de dades en el núvol, seleccionant tecnologies adequades per a casos específics, i dissenya arquitectures escalables i resilients utilitzant eines de monitoratge i optimització per a millorar el rendiment.</t>
        </is>
      </c>
      <c r="C34" s="10" t="n">
        <v>25</v>
      </c>
      <c r="D34" s="11" t="inlineStr">
        <is>
          <t>OBJECTIUS</t>
        </is>
      </c>
      <c r="E34" s="12" t="inlineStr">
        <is>
          <t>TODOS</t>
        </is>
      </c>
      <c r="F34" s="13">
        <f>SUM(F35:F40)</f>
        <v/>
      </c>
      <c r="G34" s="13">
        <f>SUM(G35:G40)</f>
        <v/>
      </c>
      <c r="I34" s="13">
        <f>SUM(I35:I40)</f>
        <v/>
      </c>
    </row>
    <row r="35">
      <c r="D35" s="14" t="n"/>
      <c r="E35" s="15" t="inlineStr">
        <is>
          <t>a) S'ha realitzat la diferenciació entre tecnologies d'emmagatzematge en el núvol.</t>
        </is>
      </c>
      <c r="F35" t="n">
        <v>0</v>
      </c>
      <c r="G35" s="16" t="n">
        <v>16.66666666666667</v>
      </c>
    </row>
    <row r="36">
      <c r="E36" s="15" t="inlineStr">
        <is>
          <t>b) S'ha dut a terme la configuració i gestió de bases de dades en un entorn de núvol.</t>
        </is>
      </c>
      <c r="F36" t="n">
        <v>0</v>
      </c>
      <c r="G36" s="16" t="n">
        <v>16.66666666666667</v>
      </c>
    </row>
    <row r="37">
      <c r="E37" s="15" t="inlineStr">
        <is>
          <t>c) S'ha treballat en la resolució de problemes pràctics sobre emmagatzematge i bases de dades</t>
        </is>
      </c>
      <c r="F37" t="n">
        <v>0</v>
      </c>
      <c r="G37" s="16" t="n">
        <v>16.66666666666667</v>
      </c>
    </row>
    <row r="38">
      <c r="D38" s="11" t="inlineStr">
        <is>
          <t>COMPETENCIES</t>
        </is>
      </c>
      <c r="E38" s="15" t="inlineStr">
        <is>
          <t>d) S'ha dissenyat arquitectures escalables i resilients basades en les millors pràctiques.</t>
        </is>
      </c>
      <c r="F38" t="n">
        <v>0</v>
      </c>
      <c r="G38" s="16" t="n">
        <v>16.66666666666667</v>
      </c>
    </row>
    <row r="39">
      <c r="D39" s="14" t="n"/>
      <c r="E39" s="15" t="inlineStr">
        <is>
          <t>e) S'ha fet ús d'eines de monitoratge i recomanacions d'optimització.</t>
        </is>
      </c>
      <c r="F39" t="n">
        <v>0</v>
      </c>
      <c r="G39" s="16" t="n">
        <v>16.66666666666667</v>
      </c>
    </row>
    <row r="40">
      <c r="E40" s="15" t="inlineStr">
        <is>
          <t>f) S'ha participat en activitats que simulen l'anàlisi i millora d'arquitectures existents.</t>
        </is>
      </c>
      <c r="F40" t="n">
        <v>0</v>
      </c>
      <c r="G40" s="16" t="n">
        <v>16.66666666666667</v>
      </c>
    </row>
    <row r="41"/>
  </sheetData>
  <mergeCells count="34">
    <mergeCell ref="C1:E1"/>
    <mergeCell ref="D15:D17"/>
    <mergeCell ref="E8:E9"/>
    <mergeCell ref="G8:G9"/>
    <mergeCell ref="B26:B33"/>
    <mergeCell ref="C34:C41"/>
    <mergeCell ref="F3:F4"/>
    <mergeCell ref="B8:B9"/>
    <mergeCell ref="C18:C25"/>
    <mergeCell ref="J26:J32"/>
    <mergeCell ref="C2:E2"/>
    <mergeCell ref="D23:D25"/>
    <mergeCell ref="D39:D41"/>
    <mergeCell ref="F8:F9"/>
    <mergeCell ref="B18:B25"/>
    <mergeCell ref="D35:D37"/>
    <mergeCell ref="C26:C33"/>
    <mergeCell ref="I3:I4"/>
    <mergeCell ref="D19:D21"/>
    <mergeCell ref="C10:C17"/>
    <mergeCell ref="J18:J24"/>
    <mergeCell ref="D31:D33"/>
    <mergeCell ref="C8:C9"/>
    <mergeCell ref="I8:I9"/>
    <mergeCell ref="D8:D9"/>
    <mergeCell ref="C3:E3"/>
    <mergeCell ref="B10:B17"/>
    <mergeCell ref="D27:D29"/>
    <mergeCell ref="J10:J16"/>
    <mergeCell ref="H8:H9"/>
    <mergeCell ref="B34:B41"/>
    <mergeCell ref="J8:J9"/>
    <mergeCell ref="J34:J40"/>
    <mergeCell ref="D11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5"/>
  <sheetViews>
    <sheetView workbookViewId="0">
      <selection activeCell="A1" sqref="A1"/>
    </sheetView>
  </sheetViews>
  <sheetFormatPr baseColWidth="8" defaultRowHeight="15"/>
  <cols>
    <col width="40" customWidth="1" min="2" max="2"/>
    <col width="90" customWidth="1" min="5" max="5"/>
    <col width="15" customWidth="1" min="6" max="6"/>
    <col width="15" customWidth="1" min="8" max="8"/>
    <col width="15" customWidth="1" min="9" max="9"/>
    <col width="50" customWidth="1" min="10" max="10"/>
  </cols>
  <sheetData>
    <row r="1">
      <c r="B1" s="1" t="inlineStr">
        <is>
          <t>Código</t>
        </is>
      </c>
      <c r="C1" s="2" t="inlineStr">
        <is>
          <t>IPR</t>
        </is>
      </c>
    </row>
    <row r="2">
      <c r="B2" s="1" t="inlineStr">
        <is>
          <t>Nombre</t>
        </is>
      </c>
      <c r="C2" s="3" t="inlineStr">
        <is>
          <t>Introducció a la Programació</t>
        </is>
      </c>
      <c r="J2" t="inlineStr">
        <is>
          <t>OBJECTIUS</t>
        </is>
      </c>
    </row>
    <row r="3">
      <c r="B3" s="1" t="inlineStr">
        <is>
          <t>Horas</t>
        </is>
      </c>
      <c r="C3" s="2" t="inlineStr">
        <is>
          <t>100</t>
        </is>
      </c>
      <c r="F3" s="4" t="inlineStr">
        <is>
          <t>TOTAL HORAS</t>
        </is>
      </c>
      <c r="I3" s="4" t="inlineStr">
        <is>
          <t>TOTAL H.DUAL</t>
        </is>
      </c>
      <c r="J3" t="inlineStr">
        <is>
          <t>[]</t>
        </is>
      </c>
    </row>
    <row r="4">
      <c r="J4" t="inlineStr">
        <is>
          <t>COMPETENCIES</t>
        </is>
      </c>
    </row>
    <row r="5">
      <c r="F5" s="5">
        <f>SUM(F8:F200)/2</f>
        <v/>
      </c>
      <c r="I5" s="6">
        <f>SUM(I8:I200)/2</f>
        <v/>
      </c>
      <c r="J5" t="inlineStr">
        <is>
          <t>[]</t>
        </is>
      </c>
    </row>
    <row r="8">
      <c r="B8" s="7" t="inlineStr">
        <is>
          <t>RESULTADO DE APRENDIZAJE</t>
        </is>
      </c>
      <c r="C8" s="7" t="inlineStr">
        <is>
          <t>% RA</t>
        </is>
      </c>
      <c r="D8" s="7" t="inlineStr">
        <is>
          <t>COMP</t>
        </is>
      </c>
      <c r="E8" s="7" t="inlineStr">
        <is>
          <t>CRITERIOS DE EVALUACIÓN</t>
        </is>
      </c>
      <c r="F8" s="7" t="inlineStr">
        <is>
          <t>HORAS</t>
        </is>
      </c>
      <c r="G8" s="7" t="inlineStr">
        <is>
          <t>% CE</t>
        </is>
      </c>
      <c r="H8" s="8" t="inlineStr">
        <is>
          <t>REQUISITO FE</t>
        </is>
      </c>
      <c r="I8" s="8" t="inlineStr">
        <is>
          <t>HORAS DUAL</t>
        </is>
      </c>
      <c r="J8" s="8" t="inlineStr">
        <is>
          <t>CONTENIDOS</t>
        </is>
      </c>
    </row>
    <row r="9"/>
    <row r="10">
      <c r="B10" s="9" t="inlineStr">
        <is>
          <t>RA01.Reconèix l'estructura d'un programa informàtic, identificant i relacionant els elements propis del llenguatge de programació utilitzat.</t>
        </is>
      </c>
      <c r="C10" s="10" t="n">
        <v>16.66666666666667</v>
      </c>
      <c r="D10" s="11" t="inlineStr">
        <is>
          <t>OBJECTIUS</t>
        </is>
      </c>
      <c r="E10" s="12" t="inlineStr">
        <is>
          <t>TODOS</t>
        </is>
      </c>
      <c r="F10" s="13">
        <f>SUM(F11:F19)</f>
        <v/>
      </c>
      <c r="G10" s="13">
        <f>SUM(G11:G19)</f>
        <v/>
      </c>
      <c r="I10" s="13">
        <f>SUM(I11:I19)</f>
        <v/>
      </c>
    </row>
    <row r="11">
      <c r="D11" s="14" t="n"/>
      <c r="E11" s="15" t="inlineStr">
        <is>
          <t>a) S'han identificat els blocs que componen l'estructura d'un programa informàtic.</t>
        </is>
      </c>
      <c r="F11" t="n">
        <v>0</v>
      </c>
      <c r="G11" s="16" t="n">
        <v>11.11111111111111</v>
      </c>
    </row>
    <row r="12">
      <c r="E12" s="15" t="inlineStr">
        <is>
          <t>b) S'han creat projectes de desenvolupament d'aplicacions</t>
        </is>
      </c>
      <c r="F12" t="n">
        <v>0</v>
      </c>
      <c r="G12" s="16" t="n">
        <v>11.11111111111111</v>
      </c>
    </row>
    <row r="13">
      <c r="E13" s="15" t="inlineStr">
        <is>
          <t>c) S'han utilitzat entorns integrats de desenvolupament.</t>
        </is>
      </c>
      <c r="F13" t="n">
        <v>0</v>
      </c>
      <c r="G13" s="16" t="n">
        <v>11.11111111111111</v>
      </c>
    </row>
    <row r="14">
      <c r="E14" s="15" t="inlineStr">
        <is>
          <t>d) S'han identificat els diferents tipus de variables i la utilitat específica de cadascun.</t>
        </is>
      </c>
      <c r="F14" t="n">
        <v>0</v>
      </c>
      <c r="G14" s="16" t="n">
        <v>11.11111111111111</v>
      </c>
    </row>
    <row r="15">
      <c r="E15" s="15" t="inlineStr">
        <is>
          <t>e) S'ha modificat el codi d'un programa per a crear i utilitzar variables.</t>
        </is>
      </c>
      <c r="F15" t="n">
        <v>0</v>
      </c>
      <c r="G15" s="16" t="n">
        <v>11.11111111111111</v>
      </c>
    </row>
    <row r="16">
      <c r="D16" s="11" t="inlineStr">
        <is>
          <t>COMPETENCIES</t>
        </is>
      </c>
      <c r="E16" s="15" t="inlineStr">
        <is>
          <t>f) S'han creat i utilitzat constants i literals.</t>
        </is>
      </c>
      <c r="F16" t="n">
        <v>0</v>
      </c>
      <c r="G16" s="16" t="n">
        <v>11.11111111111111</v>
      </c>
    </row>
    <row r="17">
      <c r="D17" s="14" t="n"/>
      <c r="E17" s="15" t="inlineStr">
        <is>
          <t>g) S'han classificat, reconegut i utilitzat en expressions els operadors del llenguatge.</t>
        </is>
      </c>
      <c r="F17" t="n">
        <v>0</v>
      </c>
      <c r="G17" s="16" t="n">
        <v>11.11111111111111</v>
      </c>
    </row>
    <row r="18">
      <c r="E18" s="15" t="inlineStr">
        <is>
          <t>h) S'ha comprovat el funcionament de les conversions de tipus explícites i implícites.</t>
        </is>
      </c>
      <c r="F18" t="n">
        <v>0</v>
      </c>
      <c r="G18" s="16" t="n">
        <v>11.11111111111111</v>
      </c>
    </row>
    <row r="19">
      <c r="E19" s="15" t="inlineStr">
        <is>
          <t>i) S'han introduït comentaris en el codi.</t>
        </is>
      </c>
      <c r="F19" t="n">
        <v>0</v>
      </c>
      <c r="G19" s="16" t="n">
        <v>11.11111111111111</v>
      </c>
    </row>
    <row r="20"/>
    <row r="21">
      <c r="B21" s="9" t="inlineStr">
        <is>
          <t>RA02.Escriu i prova programes senzills, reconeixent i aplicant els fonaments de la programació orientada a objectes.</t>
        </is>
      </c>
      <c r="C21" s="10" t="n">
        <v>16.66666666666667</v>
      </c>
      <c r="D21" s="11" t="inlineStr">
        <is>
          <t>OBJECTIUS</t>
        </is>
      </c>
      <c r="E21" s="12" t="inlineStr">
        <is>
          <t>TODOS</t>
        </is>
      </c>
      <c r="F21" s="13">
        <f>SUM(F22:F30)</f>
        <v/>
      </c>
      <c r="G21" s="13">
        <f>SUM(G22:G30)</f>
        <v/>
      </c>
      <c r="I21" s="13">
        <f>SUM(I22:I30)</f>
        <v/>
      </c>
    </row>
    <row r="22">
      <c r="D22" s="14" t="n"/>
      <c r="E22" s="15" t="inlineStr">
        <is>
          <t>a) S'han identificat els fonaments de la programació orientada a objectes.</t>
        </is>
      </c>
      <c r="F22" t="n">
        <v>0</v>
      </c>
      <c r="G22" s="16" t="n">
        <v>11.11111111111111</v>
      </c>
    </row>
    <row r="23">
      <c r="E23" s="15" t="inlineStr">
        <is>
          <t>b) S'han escrit programes simples.</t>
        </is>
      </c>
      <c r="F23" t="n">
        <v>0</v>
      </c>
      <c r="G23" s="16" t="n">
        <v>11.11111111111111</v>
      </c>
    </row>
    <row r="24">
      <c r="E24" s="15" t="inlineStr">
        <is>
          <t>c) S'han instanciat objectes a partir de classes predefinides.</t>
        </is>
      </c>
      <c r="F24" t="n">
        <v>0</v>
      </c>
      <c r="G24" s="16" t="n">
        <v>11.11111111111111</v>
      </c>
    </row>
    <row r="25">
      <c r="E25" s="15" t="inlineStr">
        <is>
          <t>d) S'han utilitzat mètodes i propietats dels objectes.</t>
        </is>
      </c>
      <c r="F25" t="n">
        <v>0</v>
      </c>
      <c r="G25" s="16" t="n">
        <v>11.11111111111111</v>
      </c>
    </row>
    <row r="26">
      <c r="E26" s="15" t="inlineStr">
        <is>
          <t>e) S'han escrit trucades a mètodes estàtics.</t>
        </is>
      </c>
      <c r="F26" t="n">
        <v>0</v>
      </c>
      <c r="G26" s="16" t="n">
        <v>11.11111111111111</v>
      </c>
    </row>
    <row r="27">
      <c r="D27" s="11" t="inlineStr">
        <is>
          <t>COMPETENCIES</t>
        </is>
      </c>
      <c r="E27" s="15" t="inlineStr">
        <is>
          <t>f) S'han utilitzat paràmetres en la trucada a mètodes.</t>
        </is>
      </c>
      <c r="F27" t="n">
        <v>0</v>
      </c>
      <c r="G27" s="16" t="n">
        <v>11.11111111111111</v>
      </c>
    </row>
    <row r="28">
      <c r="D28" s="14" t="n"/>
      <c r="E28" s="15" t="inlineStr">
        <is>
          <t>g) S'han incorporat i utilitzat llibreries d'objectes.</t>
        </is>
      </c>
      <c r="F28" t="n">
        <v>0</v>
      </c>
      <c r="G28" s="16" t="n">
        <v>11.11111111111111</v>
      </c>
    </row>
    <row r="29">
      <c r="E29" s="15" t="inlineStr">
        <is>
          <t>h) S'han utilitzat constructors.</t>
        </is>
      </c>
      <c r="F29" t="n">
        <v>0</v>
      </c>
      <c r="G29" s="16" t="n">
        <v>11.11111111111111</v>
      </c>
    </row>
    <row r="30">
      <c r="E30" s="15" t="inlineStr">
        <is>
          <t>i) S'ha utilitzat l'entorn integrat de desenvolupament en la creació i compilació de programes simples.</t>
        </is>
      </c>
      <c r="F30" t="n">
        <v>0</v>
      </c>
      <c r="G30" s="16" t="n">
        <v>11.11111111111111</v>
      </c>
    </row>
    <row r="31"/>
    <row r="32">
      <c r="B32" s="9" t="inlineStr">
        <is>
          <t>RA03.Escriu i depura codi, analitzant i utilitzant les estructures de control del llenguatge.</t>
        </is>
      </c>
      <c r="C32" s="10" t="n">
        <v>16.66666666666667</v>
      </c>
      <c r="D32" s="11" t="inlineStr">
        <is>
          <t>OBJECTIUS</t>
        </is>
      </c>
      <c r="E32" s="12" t="inlineStr">
        <is>
          <t>TODOS</t>
        </is>
      </c>
      <c r="F32" s="13">
        <f>SUM(F33:F41)</f>
        <v/>
      </c>
      <c r="G32" s="13">
        <f>SUM(G33:G41)</f>
        <v/>
      </c>
      <c r="I32" s="13">
        <f>SUM(I33:I41)</f>
        <v/>
      </c>
    </row>
    <row r="33">
      <c r="D33" s="14" t="n"/>
      <c r="E33" s="15" t="inlineStr">
        <is>
          <t>a) S'ha escrit i provat codi que faça ús d'estructures de selecció.</t>
        </is>
      </c>
      <c r="F33" t="n">
        <v>0</v>
      </c>
      <c r="G33" s="16" t="n">
        <v>11.11111111111111</v>
      </c>
    </row>
    <row r="34">
      <c r="E34" s="15" t="inlineStr">
        <is>
          <t>b) S'han utilitzat estructures de repetició.</t>
        </is>
      </c>
      <c r="F34" t="n">
        <v>0</v>
      </c>
      <c r="G34" s="16" t="n">
        <v>11.11111111111111</v>
      </c>
    </row>
    <row r="35">
      <c r="E35" s="15" t="inlineStr">
        <is>
          <t>c) S'han reconegut les possibilitats de les sentències de salt.</t>
        </is>
      </c>
      <c r="F35" t="n">
        <v>0</v>
      </c>
      <c r="G35" s="16" t="n">
        <v>11.11111111111111</v>
      </c>
    </row>
    <row r="36">
      <c r="E36" s="15" t="inlineStr">
        <is>
          <t>d) S'ha escrit codi utilitzant control d'excepcions.</t>
        </is>
      </c>
      <c r="F36" t="n">
        <v>0</v>
      </c>
      <c r="G36" s="16" t="n">
        <v>11.11111111111111</v>
      </c>
    </row>
    <row r="37">
      <c r="E37" s="15" t="inlineStr">
        <is>
          <t>e) S'han creat programes executables utilitzant diferents estructures de control.</t>
        </is>
      </c>
      <c r="F37" t="n">
        <v>0</v>
      </c>
      <c r="G37" s="16" t="n">
        <v>11.11111111111111</v>
      </c>
    </row>
    <row r="38">
      <c r="D38" s="11" t="inlineStr">
        <is>
          <t>COMPETENCIES</t>
        </is>
      </c>
      <c r="E38" s="15" t="inlineStr">
        <is>
          <t>f) S'han provat i depurat els programes.</t>
        </is>
      </c>
      <c r="F38" t="n">
        <v>0</v>
      </c>
      <c r="G38" s="16" t="n">
        <v>11.11111111111111</v>
      </c>
    </row>
    <row r="39">
      <c r="D39" s="14" t="n"/>
      <c r="E39" s="15" t="inlineStr">
        <is>
          <t>g) S'ha comentat i documentat el codi.</t>
        </is>
      </c>
      <c r="F39" t="n">
        <v>0</v>
      </c>
      <c r="G39" s="16" t="n">
        <v>11.11111111111111</v>
      </c>
    </row>
    <row r="40">
      <c r="E40" s="15" t="inlineStr">
        <is>
          <t>h) S'han creat excepcions.</t>
        </is>
      </c>
      <c r="F40" t="n">
        <v>0</v>
      </c>
      <c r="G40" s="16" t="n">
        <v>11.11111111111111</v>
      </c>
    </row>
    <row r="41">
      <c r="E41" s="15" t="inlineStr">
        <is>
          <t>i) S'han utilitzat asercions per a la detecció i correcció d'errors durant la fase de desenvolupament.</t>
        </is>
      </c>
      <c r="F41" t="n">
        <v>0</v>
      </c>
      <c r="G41" s="16" t="n">
        <v>11.11111111111111</v>
      </c>
    </row>
    <row r="42"/>
    <row r="43">
      <c r="B43" s="9" t="inlineStr">
        <is>
          <t>RA04.Desenvolupa programes organitzats en classes analitzant i aplicant els principis de la programació orientada a objectes.</t>
        </is>
      </c>
      <c r="C43" s="10" t="n">
        <v>16.66666666666667</v>
      </c>
      <c r="D43" s="11" t="inlineStr">
        <is>
          <t>OBJECTIUS</t>
        </is>
      </c>
      <c r="E43" s="12" t="inlineStr">
        <is>
          <t>TODOS</t>
        </is>
      </c>
      <c r="F43" s="13">
        <f>SUM(F44:F52)</f>
        <v/>
      </c>
      <c r="G43" s="13">
        <f>SUM(G44:G52)</f>
        <v/>
      </c>
      <c r="I43" s="13">
        <f>SUM(I44:I52)</f>
        <v/>
      </c>
    </row>
    <row r="44">
      <c r="D44" s="14" t="n"/>
      <c r="E44" s="15" t="inlineStr">
        <is>
          <t>a) S'ha reconegut la sintaxi, estructura i components típics d'una classe.</t>
        </is>
      </c>
      <c r="F44" t="n">
        <v>0</v>
      </c>
      <c r="G44" s="16" t="n">
        <v>11.11111111111111</v>
      </c>
    </row>
    <row r="45">
      <c r="E45" s="15" t="inlineStr">
        <is>
          <t>b) S'han definit classes.</t>
        </is>
      </c>
      <c r="F45" t="n">
        <v>0</v>
      </c>
      <c r="G45" s="16" t="n">
        <v>11.11111111111111</v>
      </c>
    </row>
    <row r="46">
      <c r="E46" s="15" t="inlineStr">
        <is>
          <t>c) S'han definit propietats i mètodes.</t>
        </is>
      </c>
      <c r="F46" t="n">
        <v>0</v>
      </c>
      <c r="G46" s="16" t="n">
        <v>11.11111111111111</v>
      </c>
    </row>
    <row r="47">
      <c r="E47" s="15" t="inlineStr">
        <is>
          <t>d) S'han creat constructors.</t>
        </is>
      </c>
      <c r="F47" t="n">
        <v>0</v>
      </c>
      <c r="G47" s="16" t="n">
        <v>11.11111111111111</v>
      </c>
    </row>
    <row r="48">
      <c r="E48" s="15" t="inlineStr">
        <is>
          <t>e) S'han desenvolupat programes que instancien i utilitzen objectes de les classes creades anteriorment.</t>
        </is>
      </c>
      <c r="F48" t="n">
        <v>0</v>
      </c>
      <c r="G48" s="16" t="n">
        <v>11.11111111111111</v>
      </c>
    </row>
    <row r="49">
      <c r="D49" s="11" t="inlineStr">
        <is>
          <t>COMPETENCIES</t>
        </is>
      </c>
      <c r="E49" s="15" t="inlineStr">
        <is>
          <t>f) S'han utilitzat mecanismes per a controlar la visibilitat de les classes i dels seus membres.</t>
        </is>
      </c>
      <c r="F49" t="n">
        <v>0</v>
      </c>
      <c r="G49" s="16" t="n">
        <v>11.11111111111111</v>
      </c>
    </row>
    <row r="50">
      <c r="D50" s="14" t="n"/>
      <c r="E50" s="15" t="inlineStr">
        <is>
          <t>g) S'han definit i utilitzat classes heretades.</t>
        </is>
      </c>
      <c r="F50" t="n">
        <v>0</v>
      </c>
      <c r="G50" s="16" t="n">
        <v>11.11111111111111</v>
      </c>
    </row>
    <row r="51">
      <c r="E51" s="15" t="inlineStr">
        <is>
          <t>h) S'han creat i utilitzat mètodes estàtics.</t>
        </is>
      </c>
      <c r="F51" t="n">
        <v>0</v>
      </c>
      <c r="G51" s="16" t="n">
        <v>11.11111111111111</v>
      </c>
    </row>
    <row r="52">
      <c r="E52" s="15" t="inlineStr">
        <is>
          <t>i) S'han creat i utilitzat conjunts i llibreries de classes.</t>
        </is>
      </c>
      <c r="F52" t="n">
        <v>0</v>
      </c>
      <c r="G52" s="16" t="n">
        <v>11.11111111111111</v>
      </c>
    </row>
    <row r="53"/>
    <row r="54">
      <c r="B54" s="9" t="inlineStr">
        <is>
          <t>RA05.Realitza operacions d'entrada i sortida d'informació, utilitzant procediments específics del llenguatge i llibreries de classes.</t>
        </is>
      </c>
      <c r="C54" s="10" t="n">
        <v>16.66666666666667</v>
      </c>
      <c r="D54" s="11" t="inlineStr">
        <is>
          <t>OBJECTIUS</t>
        </is>
      </c>
      <c r="E54" s="12" t="inlineStr">
        <is>
          <t>TODOS</t>
        </is>
      </c>
      <c r="F54" s="13">
        <f>SUM(F55:F62)</f>
        <v/>
      </c>
      <c r="G54" s="13">
        <f>SUM(G55:G62)</f>
        <v/>
      </c>
      <c r="I54" s="13">
        <f>SUM(I55:I62)</f>
        <v/>
      </c>
    </row>
    <row r="55">
      <c r="D55" s="14" t="n"/>
      <c r="E55" s="15" t="inlineStr">
        <is>
          <t>a) S'ha utilitzat la consola per a realitzar operacions d'entrada i sortida d'informació.</t>
        </is>
      </c>
      <c r="F55" t="n">
        <v>0</v>
      </c>
      <c r="G55" s="16" t="n">
        <v>12.5</v>
      </c>
    </row>
    <row r="56">
      <c r="E56" s="15" t="inlineStr">
        <is>
          <t>b) S'han aplicat formats en la visualització de la informació.</t>
        </is>
      </c>
      <c r="F56" t="n">
        <v>0</v>
      </c>
      <c r="G56" s="16" t="n">
        <v>12.5</v>
      </c>
    </row>
    <row r="57">
      <c r="E57" s="15" t="inlineStr">
        <is>
          <t>c) S'han reconegut les possibilitats d'entrada / sortida del llenguatge i les llibreries associades.</t>
        </is>
      </c>
      <c r="F57" t="n">
        <v>0</v>
      </c>
      <c r="G57" s="16" t="n">
        <v>12.5</v>
      </c>
    </row>
    <row r="58">
      <c r="E58" s="15" t="inlineStr">
        <is>
          <t>d) S'han utilitzat fitxers per a emmagatzemar i recuperar informació.</t>
        </is>
      </c>
      <c r="F58" t="n">
        <v>0</v>
      </c>
      <c r="G58" s="16" t="n">
        <v>12.5</v>
      </c>
    </row>
    <row r="59">
      <c r="D59" s="11" t="inlineStr">
        <is>
          <t>COMPETENCIES</t>
        </is>
      </c>
      <c r="E59" s="15" t="inlineStr">
        <is>
          <t>e) S'han creat programes que utilitzen diversos mètodes d'accés al contingut dels fitxers.</t>
        </is>
      </c>
      <c r="F59" t="n">
        <v>0</v>
      </c>
      <c r="G59" s="16" t="n">
        <v>12.5</v>
      </c>
    </row>
    <row r="60">
      <c r="D60" s="14" t="n"/>
      <c r="E60" s="15" t="inlineStr">
        <is>
          <t>f) S'han utilitzat les eines de l'entorn de desenvolupament per a crear interfícies gràfics d'usuari simples.</t>
        </is>
      </c>
      <c r="F60" t="n">
        <v>0</v>
      </c>
      <c r="G60" s="16" t="n">
        <v>12.5</v>
      </c>
    </row>
    <row r="61">
      <c r="E61" s="15" t="inlineStr">
        <is>
          <t>g) S'han programat controladors d'esdeveniments.</t>
        </is>
      </c>
      <c r="F61" t="n">
        <v>0</v>
      </c>
      <c r="G61" s="16" t="n">
        <v>12.5</v>
      </c>
    </row>
    <row r="62">
      <c r="E62" s="15" t="inlineStr">
        <is>
          <t>h) S'han escrit programes que utilitzen interfícies gràfics per a l'entrada i sortida d'informació.</t>
        </is>
      </c>
      <c r="F62" t="n">
        <v>0</v>
      </c>
      <c r="G62" s="16" t="n">
        <v>12.5</v>
      </c>
    </row>
    <row r="63"/>
    <row r="64">
      <c r="B64" s="9" t="inlineStr">
        <is>
          <t>RA06.Escriu programes que manipulen informació, seleccionant i utilitzant tipus avançats de dades.</t>
        </is>
      </c>
      <c r="C64" s="10" t="n">
        <v>16.66666666666667</v>
      </c>
      <c r="D64" s="11" t="inlineStr">
        <is>
          <t>OBJECTIUS</t>
        </is>
      </c>
      <c r="E64" s="12" t="inlineStr">
        <is>
          <t>TODOS</t>
        </is>
      </c>
      <c r="F64" s="13">
        <f>SUM(F65:F74)</f>
        <v/>
      </c>
      <c r="G64" s="13">
        <f>SUM(G65:G74)</f>
        <v/>
      </c>
      <c r="I64" s="13">
        <f>SUM(I65:I74)</f>
        <v/>
      </c>
    </row>
    <row r="65">
      <c r="D65" s="14" t="n"/>
      <c r="E65" s="15" t="inlineStr">
        <is>
          <t>a) S'han escrit programes que utilitzen matrius (arrays)</t>
        </is>
      </c>
      <c r="F65" t="n">
        <v>0</v>
      </c>
      <c r="G65" s="16" t="n">
        <v>10</v>
      </c>
    </row>
    <row r="66">
      <c r="E66" s="15" t="inlineStr">
        <is>
          <t>b) S'han reconegut les llibreries de classes relacionades amb tipus de dades avançats.</t>
        </is>
      </c>
      <c r="F66" t="n">
        <v>0</v>
      </c>
      <c r="G66" s="16" t="n">
        <v>10</v>
      </c>
    </row>
    <row r="67">
      <c r="E67" s="15" t="inlineStr">
        <is>
          <t>c) S'han utilitzat llistes per a emmagatzemar i processar informació.</t>
        </is>
      </c>
      <c r="F67" t="n">
        <v>0</v>
      </c>
      <c r="G67" s="16" t="n">
        <v>10</v>
      </c>
    </row>
    <row r="68">
      <c r="E68" s="15" t="inlineStr">
        <is>
          <t>d) S'han utilitzat iteradors per a recórrer els elements de les llistes.</t>
        </is>
      </c>
      <c r="F68" t="n">
        <v>0</v>
      </c>
      <c r="G68" s="16" t="n">
        <v>10</v>
      </c>
    </row>
    <row r="69">
      <c r="E69" s="15" t="inlineStr">
        <is>
          <t>e) S'han reconegut les característiques i avantatges de cadascuna de les col·leccions de dades disponibles.</t>
        </is>
      </c>
      <c r="F69" t="n">
        <v>0</v>
      </c>
      <c r="G69" s="16" t="n">
        <v>10</v>
      </c>
    </row>
    <row r="70">
      <c r="D70" s="11" t="inlineStr">
        <is>
          <t>COMPETENCIES</t>
        </is>
      </c>
      <c r="E70" s="15" t="inlineStr">
        <is>
          <t>f) S'han creat classes i mètodes genèrics.</t>
        </is>
      </c>
      <c r="F70" t="n">
        <v>0</v>
      </c>
      <c r="G70" s="16" t="n">
        <v>10</v>
      </c>
    </row>
    <row r="71">
      <c r="D71" s="14" t="n"/>
      <c r="E71" s="15" t="inlineStr">
        <is>
          <t>g) S'han utilitzat expressions regulars en la cerca de patrons en cadenes de text.</t>
        </is>
      </c>
      <c r="F71" t="n">
        <v>0</v>
      </c>
      <c r="G71" s="16" t="n">
        <v>10</v>
      </c>
    </row>
    <row r="72">
      <c r="E72" s="15" t="inlineStr">
        <is>
          <t>h) S'han identificat les classes relacionades amb el tractament de documents escrits en diferents llenguatges d'intercanvi de dades.</t>
        </is>
      </c>
      <c r="F72" t="n">
        <v>0</v>
      </c>
      <c r="G72" s="16" t="n">
        <v>10</v>
      </c>
    </row>
    <row r="73">
      <c r="E73" s="15" t="inlineStr">
        <is>
          <t>i) S'han realitzat programes que realitzen manipulacions sobre documents escrits en diferents llenguatges d'intercanvi de dades.</t>
        </is>
      </c>
      <c r="F73" t="n">
        <v>0</v>
      </c>
      <c r="G73" s="16" t="n">
        <v>10</v>
      </c>
    </row>
    <row r="74">
      <c r="E74" s="15" t="inlineStr">
        <is>
          <t>j) S'han utilitzat operacions agregades per al maneig d'informació emmagatzemada en col·leccions.</t>
        </is>
      </c>
      <c r="F74" t="n">
        <v>0</v>
      </c>
      <c r="G74" s="16" t="n">
        <v>10</v>
      </c>
    </row>
    <row r="75"/>
  </sheetData>
  <mergeCells count="44">
    <mergeCell ref="D50:D53"/>
    <mergeCell ref="C1:E1"/>
    <mergeCell ref="B54:B63"/>
    <mergeCell ref="D60:D63"/>
    <mergeCell ref="E8:E9"/>
    <mergeCell ref="J43:J52"/>
    <mergeCell ref="G8:G9"/>
    <mergeCell ref="D71:D75"/>
    <mergeCell ref="J21:J30"/>
    <mergeCell ref="B64:B75"/>
    <mergeCell ref="F3:F4"/>
    <mergeCell ref="B8:B9"/>
    <mergeCell ref="C10:C20"/>
    <mergeCell ref="J54:J62"/>
    <mergeCell ref="C2:E2"/>
    <mergeCell ref="B10:B20"/>
    <mergeCell ref="F8:F9"/>
    <mergeCell ref="D17:D20"/>
    <mergeCell ref="C21:C31"/>
    <mergeCell ref="D33:D37"/>
    <mergeCell ref="I3:I4"/>
    <mergeCell ref="C64:C75"/>
    <mergeCell ref="J10:J19"/>
    <mergeCell ref="C43:C53"/>
    <mergeCell ref="C32:C42"/>
    <mergeCell ref="C54:C63"/>
    <mergeCell ref="D28:D31"/>
    <mergeCell ref="D44:D48"/>
    <mergeCell ref="C8:C9"/>
    <mergeCell ref="I8:I9"/>
    <mergeCell ref="D22:D26"/>
    <mergeCell ref="D65:D69"/>
    <mergeCell ref="D8:D9"/>
    <mergeCell ref="C3:E3"/>
    <mergeCell ref="D11:D15"/>
    <mergeCell ref="B32:B42"/>
    <mergeCell ref="D39:D42"/>
    <mergeCell ref="H8:H9"/>
    <mergeCell ref="J8:J9"/>
    <mergeCell ref="D55:D58"/>
    <mergeCell ref="J64:J74"/>
    <mergeCell ref="B43:B53"/>
    <mergeCell ref="B21:B31"/>
    <mergeCell ref="J32:J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2026-06-24T18:28:12Z</dcterms:created>
  <dcterms:modified xmlns:dcterms="http://purl.org/dc/terms/" xmlns:xsi="http://www.w3.org/2001/XMLSchema-instance" xsi:type="dcterms:W3CDTF">2026-06-24T18:28:12Z</dcterms:modified>
</cp:coreProperties>
</file>